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EWU\Course Content\CSE251\CSE251 Lab Manual\data for lab Exp 01\"/>
    </mc:Choice>
  </mc:AlternateContent>
  <xr:revisionPtr revIDLastSave="0" documentId="13_ncr:1_{99CCDFB7-E139-4196-B8E1-9B0A4421CB07}" xr6:coauthVersionLast="47" xr6:coauthVersionMax="47" xr10:uidLastSave="{00000000-0000-0000-0000-000000000000}"/>
  <bookViews>
    <workbookView xWindow="20370" yWindow="-120" windowWidth="20730" windowHeight="11040" xr2:uid="{83D82036-A145-49B2-9155-BE0B5F016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M10" i="1"/>
  <c r="S10" i="1"/>
  <c r="R10" i="1"/>
  <c r="L10" i="1"/>
  <c r="P37" i="1"/>
  <c r="Q37" i="1"/>
  <c r="R37" i="1" l="1"/>
  <c r="M12" i="1"/>
  <c r="M14" i="1" s="1"/>
  <c r="S37" i="1"/>
  <c r="O10" i="1"/>
  <c r="P12" i="1" s="1"/>
  <c r="P14" i="1" s="1"/>
  <c r="S12" i="1"/>
  <c r="S14" i="1" s="1"/>
</calcChain>
</file>

<file path=xl/sharedStrings.xml><?xml version="1.0" encoding="utf-8"?>
<sst xmlns="http://schemas.openxmlformats.org/spreadsheetml/2006/main" count="36" uniqueCount="20">
  <si>
    <t>Sl.</t>
  </si>
  <si>
    <t>R</t>
  </si>
  <si>
    <t>0.973KΩ</t>
  </si>
  <si>
    <t>Vs</t>
  </si>
  <si>
    <t>Vd</t>
  </si>
  <si>
    <t>Vr</t>
  </si>
  <si>
    <t>Id (mA)</t>
  </si>
  <si>
    <t>n=</t>
  </si>
  <si>
    <t>Is=</t>
  </si>
  <si>
    <t>Vd1-Vd2</t>
  </si>
  <si>
    <t>VT * ln (Id1/Id2)</t>
  </si>
  <si>
    <t>(Vd1-Vd2)/(VT * ln (Id1/Id2))</t>
  </si>
  <si>
    <t>Id * exp(-Vd1/(n*VT)</t>
  </si>
  <si>
    <t>VT=</t>
  </si>
  <si>
    <t>Vd1=</t>
  </si>
  <si>
    <t>Vd2=</t>
  </si>
  <si>
    <t>R=</t>
  </si>
  <si>
    <t>G=1/R =</t>
  </si>
  <si>
    <t>Vd1-Vd2 =</t>
  </si>
  <si>
    <t>Id1-Id2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</si>
</sst>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-Voltage (i-v) Characteristics of Diode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Id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Sheet1!$I$2:$I$35</c:f>
              <c:numCache>
                <c:formatCode>General</c:formatCode>
                <c:ptCount val="34"/>
                <c:pt idx="0">
                  <c:v>9.1999999999999998E-2</c:v>
                </c:pt>
                <c:pt idx="1">
                  <c:v>0.16500000000000001</c:v>
                </c:pt>
                <c:pt idx="2">
                  <c:v>0.25</c:v>
                </c:pt>
                <c:pt idx="3">
                  <c:v>0.34</c:v>
                </c:pt>
                <c:pt idx="4">
                  <c:v>0.43</c:v>
                </c:pt>
                <c:pt idx="5">
                  <c:v>0.46</c:v>
                </c:pt>
                <c:pt idx="6">
                  <c:v>0.48</c:v>
                </c:pt>
                <c:pt idx="7">
                  <c:v>0.51</c:v>
                </c:pt>
                <c:pt idx="8">
                  <c:v>0.52</c:v>
                </c:pt>
                <c:pt idx="9">
                  <c:v>0.52</c:v>
                </c:pt>
                <c:pt idx="10">
                  <c:v>0.56000000000000005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0.59</c:v>
                </c:pt>
                <c:pt idx="14">
                  <c:v>0.59</c:v>
                </c:pt>
                <c:pt idx="15">
                  <c:v>0.6</c:v>
                </c:pt>
                <c:pt idx="16">
                  <c:v>0.6</c:v>
                </c:pt>
                <c:pt idx="17">
                  <c:v>0.61</c:v>
                </c:pt>
                <c:pt idx="18">
                  <c:v>0.61</c:v>
                </c:pt>
                <c:pt idx="19">
                  <c:v>0.62</c:v>
                </c:pt>
                <c:pt idx="20">
                  <c:v>0.62</c:v>
                </c:pt>
                <c:pt idx="21">
                  <c:v>0.62</c:v>
                </c:pt>
                <c:pt idx="22">
                  <c:v>0.63</c:v>
                </c:pt>
                <c:pt idx="23">
                  <c:v>0.63</c:v>
                </c:pt>
                <c:pt idx="24">
                  <c:v>0.63</c:v>
                </c:pt>
                <c:pt idx="25">
                  <c:v>0.64</c:v>
                </c:pt>
                <c:pt idx="26">
                  <c:v>0.65</c:v>
                </c:pt>
                <c:pt idx="27">
                  <c:v>0.65</c:v>
                </c:pt>
                <c:pt idx="28">
                  <c:v>0.66</c:v>
                </c:pt>
                <c:pt idx="29">
                  <c:v>0.66</c:v>
                </c:pt>
                <c:pt idx="30">
                  <c:v>0.67</c:v>
                </c:pt>
                <c:pt idx="31">
                  <c:v>0.69</c:v>
                </c:pt>
                <c:pt idx="32">
                  <c:v>0.7</c:v>
                </c:pt>
                <c:pt idx="33">
                  <c:v>0.71</c:v>
                </c:pt>
              </c:numCache>
            </c:numRef>
          </c:xVal>
          <c:yVal>
            <c:numRef>
              <c:f>Sheet1!$J$2:$J$35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2.1000000000000001E-2</c:v>
                </c:pt>
                <c:pt idx="5">
                  <c:v>8.2000000000000003E-2</c:v>
                </c:pt>
                <c:pt idx="6">
                  <c:v>0.20599999999999999</c:v>
                </c:pt>
                <c:pt idx="7">
                  <c:v>0.23599999999999999</c:v>
                </c:pt>
                <c:pt idx="8">
                  <c:v>0.31900000000000001</c:v>
                </c:pt>
                <c:pt idx="9">
                  <c:v>0.45200000000000001</c:v>
                </c:pt>
                <c:pt idx="10">
                  <c:v>0.63700000000000001</c:v>
                </c:pt>
                <c:pt idx="11">
                  <c:v>0.84299999999999997</c:v>
                </c:pt>
                <c:pt idx="12">
                  <c:v>1.0069999999999999</c:v>
                </c:pt>
                <c:pt idx="13">
                  <c:v>1.1819999999999999</c:v>
                </c:pt>
                <c:pt idx="14">
                  <c:v>1.4390000000000001</c:v>
                </c:pt>
                <c:pt idx="15">
                  <c:v>1.5620000000000001</c:v>
                </c:pt>
                <c:pt idx="16">
                  <c:v>1.8089999999999999</c:v>
                </c:pt>
                <c:pt idx="17">
                  <c:v>1.984</c:v>
                </c:pt>
                <c:pt idx="18">
                  <c:v>2.2189999999999999</c:v>
                </c:pt>
                <c:pt idx="19">
                  <c:v>2.3740000000000001</c:v>
                </c:pt>
                <c:pt idx="20">
                  <c:v>2.641</c:v>
                </c:pt>
                <c:pt idx="21">
                  <c:v>2.77</c:v>
                </c:pt>
                <c:pt idx="22">
                  <c:v>2.97</c:v>
                </c:pt>
                <c:pt idx="23">
                  <c:v>3.22</c:v>
                </c:pt>
                <c:pt idx="24">
                  <c:v>3.36</c:v>
                </c:pt>
                <c:pt idx="25">
                  <c:v>3.92</c:v>
                </c:pt>
                <c:pt idx="26">
                  <c:v>4.3879999999999999</c:v>
                </c:pt>
                <c:pt idx="27">
                  <c:v>4.93</c:v>
                </c:pt>
                <c:pt idx="28">
                  <c:v>5.39</c:v>
                </c:pt>
                <c:pt idx="29">
                  <c:v>6.45</c:v>
                </c:pt>
                <c:pt idx="30">
                  <c:v>8.4</c:v>
                </c:pt>
                <c:pt idx="31">
                  <c:v>11.49</c:v>
                </c:pt>
                <c:pt idx="32">
                  <c:v>14.55</c:v>
                </c:pt>
                <c:pt idx="33">
                  <c:v>20.082000000000001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6F-43C6-AB75-190D730C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95520"/>
        <c:axId val="1594595456"/>
      </c:scatterChart>
      <c:valAx>
        <c:axId val="154369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Vd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95456"/>
        <c:crosses val="autoZero"/>
        <c:crossBetween val="midCat"/>
      </c:valAx>
      <c:valAx>
        <c:axId val="15945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</a:t>
                </a:r>
                <a:r>
                  <a:rPr lang="en-US" baseline="0"/>
                  <a:t>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69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17</xdr:row>
      <xdr:rowOff>33337</xdr:rowOff>
    </xdr:from>
    <xdr:to>
      <xdr:col>21</xdr:col>
      <xdr:colOff>142875</xdr:colOff>
      <xdr:row>31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769F5-95E6-B6FD-9E85-EBEA1E6A8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FE119-D79D-4DFE-9DDB-0193E614BBE0}">
  <dimension ref="A1:S38"/>
  <sheetViews>
    <sheetView tabSelected="1" topLeftCell="C1" workbookViewId="0">
      <selection activeCell="R5" sqref="R5"/>
    </sheetView>
  </sheetViews>
  <sheetFormatPr defaultRowHeight="15" x14ac:dyDescent="0.25"/>
  <cols>
    <col min="13" max="13" width="20.28515625" customWidth="1"/>
    <col min="16" max="16" width="10.7109375" customWidth="1"/>
    <col min="17" max="17" width="10.85546875" customWidth="1"/>
    <col min="19" max="19" width="12" bestFit="1" customWidth="1"/>
  </cols>
  <sheetData>
    <row r="1" spans="1:19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I1" s="1" t="s">
        <v>4</v>
      </c>
      <c r="J1" s="1" t="s">
        <v>6</v>
      </c>
    </row>
    <row r="2" spans="1:19" x14ac:dyDescent="0.25">
      <c r="A2" s="1">
        <v>1</v>
      </c>
      <c r="B2" s="1">
        <v>0.1</v>
      </c>
      <c r="C2" s="1">
        <v>9.1999999999999998E-2</v>
      </c>
      <c r="D2" s="1">
        <v>0</v>
      </c>
      <c r="E2" s="1">
        <v>0</v>
      </c>
      <c r="F2" s="1"/>
      <c r="I2" s="1">
        <v>9.1999999999999998E-2</v>
      </c>
      <c r="J2" s="1">
        <v>0</v>
      </c>
    </row>
    <row r="3" spans="1:19" x14ac:dyDescent="0.25">
      <c r="A3" s="1">
        <v>2</v>
      </c>
      <c r="B3" s="1">
        <v>0.2</v>
      </c>
      <c r="C3" s="1">
        <v>0.16500000000000001</v>
      </c>
      <c r="D3" s="1">
        <v>0</v>
      </c>
      <c r="E3" s="1">
        <v>0</v>
      </c>
      <c r="F3" s="1"/>
      <c r="I3" s="1">
        <v>0.16500000000000001</v>
      </c>
      <c r="J3" s="1">
        <v>0</v>
      </c>
    </row>
    <row r="4" spans="1:19" x14ac:dyDescent="0.25">
      <c r="A4" s="1">
        <v>3</v>
      </c>
      <c r="B4" s="1">
        <v>0.3</v>
      </c>
      <c r="C4" s="1">
        <v>0.25</v>
      </c>
      <c r="D4" s="1">
        <v>0</v>
      </c>
      <c r="E4" s="1">
        <v>0</v>
      </c>
      <c r="F4" s="1"/>
      <c r="I4" s="1">
        <v>0.25</v>
      </c>
      <c r="J4" s="1">
        <v>0</v>
      </c>
      <c r="L4" s="1" t="s">
        <v>7</v>
      </c>
      <c r="M4" t="s">
        <v>11</v>
      </c>
      <c r="O4" s="1" t="s">
        <v>8</v>
      </c>
      <c r="P4" s="2" t="s">
        <v>12</v>
      </c>
    </row>
    <row r="5" spans="1:19" x14ac:dyDescent="0.25">
      <c r="A5" s="1">
        <v>4</v>
      </c>
      <c r="B5" s="1">
        <v>0.4</v>
      </c>
      <c r="C5" s="1">
        <v>0.34</v>
      </c>
      <c r="D5" s="1">
        <v>0</v>
      </c>
      <c r="E5" s="1">
        <v>0</v>
      </c>
      <c r="F5" s="1"/>
      <c r="I5" s="1">
        <v>0.34</v>
      </c>
      <c r="J5" s="1">
        <v>0</v>
      </c>
    </row>
    <row r="6" spans="1:19" x14ac:dyDescent="0.25">
      <c r="A6" s="1">
        <v>5</v>
      </c>
      <c r="B6" s="1">
        <v>0.5</v>
      </c>
      <c r="C6" s="1">
        <v>0.43</v>
      </c>
      <c r="D6" s="1">
        <v>0.02</v>
      </c>
      <c r="E6" s="1">
        <v>2.1000000000000001E-2</v>
      </c>
      <c r="F6" s="1"/>
      <c r="I6" s="1">
        <v>0.43</v>
      </c>
      <c r="J6" s="1">
        <v>2.1000000000000001E-2</v>
      </c>
      <c r="L6" t="s">
        <v>13</v>
      </c>
      <c r="M6">
        <v>2.5899999999999999E-2</v>
      </c>
    </row>
    <row r="7" spans="1:19" x14ac:dyDescent="0.25">
      <c r="A7" s="1">
        <v>6</v>
      </c>
      <c r="B7" s="1">
        <v>0.6</v>
      </c>
      <c r="C7" s="1">
        <v>0.46</v>
      </c>
      <c r="D7" s="1">
        <v>0.08</v>
      </c>
      <c r="E7" s="1">
        <v>8.2000000000000003E-2</v>
      </c>
      <c r="F7" s="1"/>
      <c r="I7" s="1">
        <v>0.46</v>
      </c>
      <c r="J7" s="1">
        <v>8.2000000000000003E-2</v>
      </c>
      <c r="L7" t="s">
        <v>14</v>
      </c>
      <c r="M7" s="3">
        <v>0.63</v>
      </c>
      <c r="O7" t="s">
        <v>14</v>
      </c>
      <c r="P7" s="5">
        <v>0.65</v>
      </c>
      <c r="R7" t="s">
        <v>14</v>
      </c>
      <c r="S7" s="5">
        <v>0.65</v>
      </c>
    </row>
    <row r="8" spans="1:19" x14ac:dyDescent="0.25">
      <c r="A8" s="1">
        <v>7</v>
      </c>
      <c r="B8" s="1">
        <v>0.7</v>
      </c>
      <c r="C8" s="1">
        <v>0.48</v>
      </c>
      <c r="D8" s="1">
        <v>0.2</v>
      </c>
      <c r="E8" s="1">
        <v>0.20599999999999999</v>
      </c>
      <c r="F8" s="1"/>
      <c r="I8" s="1">
        <v>0.48</v>
      </c>
      <c r="J8" s="1">
        <v>0.20599999999999999</v>
      </c>
      <c r="L8" t="s">
        <v>15</v>
      </c>
      <c r="M8" s="4">
        <v>0.61</v>
      </c>
      <c r="O8" t="s">
        <v>15</v>
      </c>
      <c r="P8" s="3">
        <v>0.63</v>
      </c>
      <c r="R8" t="s">
        <v>15</v>
      </c>
      <c r="S8" s="4">
        <v>0.61</v>
      </c>
    </row>
    <row r="9" spans="1:19" x14ac:dyDescent="0.25">
      <c r="A9" s="1">
        <v>8</v>
      </c>
      <c r="B9" s="1">
        <v>0.8</v>
      </c>
      <c r="C9" s="1">
        <v>0.51</v>
      </c>
      <c r="D9" s="1">
        <v>0.23</v>
      </c>
      <c r="E9" s="1">
        <v>0.23599999999999999</v>
      </c>
      <c r="F9" s="1"/>
      <c r="I9" s="1">
        <v>0.51</v>
      </c>
      <c r="J9" s="1">
        <v>0.23599999999999999</v>
      </c>
      <c r="L9" s="1" t="s">
        <v>9</v>
      </c>
      <c r="M9" s="1" t="s">
        <v>10</v>
      </c>
      <c r="O9" s="1" t="s">
        <v>9</v>
      </c>
      <c r="P9" s="1" t="s">
        <v>10</v>
      </c>
      <c r="R9" s="1" t="s">
        <v>9</v>
      </c>
      <c r="S9" s="1" t="s">
        <v>10</v>
      </c>
    </row>
    <row r="10" spans="1:19" x14ac:dyDescent="0.25">
      <c r="A10" s="1">
        <v>9</v>
      </c>
      <c r="B10" s="1">
        <v>0.9</v>
      </c>
      <c r="C10" s="1">
        <v>0.52</v>
      </c>
      <c r="D10" s="1">
        <v>0.31</v>
      </c>
      <c r="E10" s="1">
        <v>0.31900000000000001</v>
      </c>
      <c r="F10" s="1"/>
      <c r="I10" s="1">
        <v>0.52</v>
      </c>
      <c r="J10" s="1">
        <v>0.31900000000000001</v>
      </c>
      <c r="L10" s="1">
        <f>M7-M8</f>
        <v>2.0000000000000018E-2</v>
      </c>
      <c r="M10" s="1">
        <f>0.0259*LN(I24/I20)</f>
        <v>8.355563314519362E-4</v>
      </c>
      <c r="O10" s="1">
        <f>P7-P8</f>
        <v>2.0000000000000018E-2</v>
      </c>
      <c r="P10" s="1">
        <f>0.0259*LN(J29/J24)</f>
        <v>1.3125525212715752E-2</v>
      </c>
      <c r="R10" s="1">
        <f>S7-S8</f>
        <v>4.0000000000000036E-2</v>
      </c>
      <c r="S10" s="1">
        <f>0.0259*LN(J29/J20)</f>
        <v>2.0675512712297273E-2</v>
      </c>
    </row>
    <row r="11" spans="1:19" x14ac:dyDescent="0.25">
      <c r="A11" s="1">
        <v>10</v>
      </c>
      <c r="B11" s="1">
        <v>1</v>
      </c>
      <c r="C11" s="1">
        <v>0.52</v>
      </c>
      <c r="D11" s="1">
        <v>0.44</v>
      </c>
      <c r="E11" s="1">
        <v>0.45200000000000001</v>
      </c>
      <c r="F11" s="1"/>
      <c r="I11" s="1">
        <v>0.52</v>
      </c>
      <c r="J11" s="1">
        <v>0.45200000000000001</v>
      </c>
      <c r="L11" s="1"/>
      <c r="M11" s="1"/>
      <c r="O11" s="1"/>
      <c r="P11" s="1"/>
      <c r="R11" s="1"/>
      <c r="S11" s="1"/>
    </row>
    <row r="12" spans="1:19" x14ac:dyDescent="0.25">
      <c r="A12" s="1">
        <v>11</v>
      </c>
      <c r="B12" s="1">
        <v>1.2</v>
      </c>
      <c r="C12" s="1">
        <v>0.56000000000000005</v>
      </c>
      <c r="D12" s="1">
        <v>0.62</v>
      </c>
      <c r="E12" s="1">
        <v>0.63700000000000001</v>
      </c>
      <c r="F12" s="1" t="s">
        <v>2</v>
      </c>
      <c r="I12" s="1">
        <v>0.56000000000000005</v>
      </c>
      <c r="J12" s="1">
        <v>0.63700000000000001</v>
      </c>
      <c r="L12" s="1" t="s">
        <v>7</v>
      </c>
      <c r="M12" s="1">
        <f>L10/M10</f>
        <v>23.936147985673518</v>
      </c>
      <c r="O12" s="1" t="s">
        <v>7</v>
      </c>
      <c r="P12" s="1">
        <f>O10/P10</f>
        <v>1.523748549172296</v>
      </c>
      <c r="R12" s="1" t="s">
        <v>7</v>
      </c>
      <c r="S12" s="1">
        <f>R10/S10</f>
        <v>1.9346557716176511</v>
      </c>
    </row>
    <row r="13" spans="1:19" x14ac:dyDescent="0.25">
      <c r="A13" s="1">
        <v>12</v>
      </c>
      <c r="B13" s="1">
        <v>1.4</v>
      </c>
      <c r="C13" s="1">
        <v>0.56999999999999995</v>
      </c>
      <c r="D13" s="1">
        <v>0.82</v>
      </c>
      <c r="E13" s="1">
        <v>0.84299999999999997</v>
      </c>
      <c r="F13" s="1"/>
      <c r="I13" s="1">
        <v>0.56999999999999995</v>
      </c>
      <c r="J13" s="1">
        <v>0.84299999999999997</v>
      </c>
      <c r="L13" s="1"/>
      <c r="M13" s="1"/>
      <c r="O13" s="1"/>
      <c r="P13" s="1"/>
      <c r="R13" s="1"/>
      <c r="S13" s="1"/>
    </row>
    <row r="14" spans="1:19" x14ac:dyDescent="0.25">
      <c r="A14" s="1">
        <v>13</v>
      </c>
      <c r="B14" s="1">
        <v>1.6</v>
      </c>
      <c r="C14" s="1">
        <v>0.57999999999999996</v>
      </c>
      <c r="D14" s="1">
        <v>0.98</v>
      </c>
      <c r="E14" s="1">
        <v>1.0069999999999999</v>
      </c>
      <c r="F14" s="1"/>
      <c r="I14" s="1">
        <v>0.57999999999999996</v>
      </c>
      <c r="J14" s="1">
        <v>1.0069999999999999</v>
      </c>
      <c r="L14" s="1" t="s">
        <v>8</v>
      </c>
      <c r="M14" s="1">
        <f>J29*EXP(-I29/(M12*0.0259))</f>
        <v>1.7278208080548283</v>
      </c>
      <c r="O14" s="1" t="s">
        <v>8</v>
      </c>
      <c r="P14" s="1">
        <f>J24*EXP(-I24/(P12*0.0259))</f>
        <v>3.4666232512164936E-7</v>
      </c>
      <c r="R14" s="1" t="s">
        <v>8</v>
      </c>
      <c r="S14" s="1">
        <f>J20*EXP(-I20/(S12*0.0259))</f>
        <v>1.1458839653985769E-5</v>
      </c>
    </row>
    <row r="15" spans="1:19" x14ac:dyDescent="0.25">
      <c r="A15" s="1">
        <v>14</v>
      </c>
      <c r="B15" s="1">
        <v>1.8</v>
      </c>
      <c r="C15" s="1">
        <v>0.59</v>
      </c>
      <c r="D15" s="1">
        <v>1.1499999999999999</v>
      </c>
      <c r="E15" s="1">
        <v>1.1819999999999999</v>
      </c>
      <c r="F15" s="1"/>
      <c r="I15" s="1">
        <v>0.59</v>
      </c>
      <c r="J15" s="1">
        <v>1.1819999999999999</v>
      </c>
    </row>
    <row r="16" spans="1:19" x14ac:dyDescent="0.25">
      <c r="A16" s="1">
        <v>15</v>
      </c>
      <c r="B16" s="1">
        <v>2</v>
      </c>
      <c r="C16" s="1">
        <v>0.59</v>
      </c>
      <c r="D16" s="1">
        <v>1.4</v>
      </c>
      <c r="E16" s="1">
        <v>1.4390000000000001</v>
      </c>
      <c r="F16" s="1"/>
      <c r="I16" s="1">
        <v>0.59</v>
      </c>
      <c r="J16" s="1">
        <v>1.4390000000000001</v>
      </c>
    </row>
    <row r="17" spans="1:10" x14ac:dyDescent="0.25">
      <c r="A17" s="1">
        <v>16</v>
      </c>
      <c r="B17" s="1">
        <v>2.2000000000000002</v>
      </c>
      <c r="C17" s="1">
        <v>0.6</v>
      </c>
      <c r="D17" s="1">
        <v>1.52</v>
      </c>
      <c r="E17" s="1">
        <v>1.5620000000000001</v>
      </c>
      <c r="F17" s="1"/>
      <c r="I17" s="1">
        <v>0.6</v>
      </c>
      <c r="J17" s="1">
        <v>1.5620000000000001</v>
      </c>
    </row>
    <row r="18" spans="1:10" x14ac:dyDescent="0.25">
      <c r="A18" s="1">
        <v>17</v>
      </c>
      <c r="B18" s="1">
        <v>2.4</v>
      </c>
      <c r="C18" s="1">
        <v>0.6</v>
      </c>
      <c r="D18" s="1">
        <v>1.76</v>
      </c>
      <c r="E18" s="1">
        <v>1.8089999999999999</v>
      </c>
      <c r="F18" s="1"/>
      <c r="I18" s="1">
        <v>0.6</v>
      </c>
      <c r="J18" s="1">
        <v>1.8089999999999999</v>
      </c>
    </row>
    <row r="19" spans="1:10" x14ac:dyDescent="0.25">
      <c r="A19" s="1">
        <v>18</v>
      </c>
      <c r="B19" s="1">
        <v>2.6</v>
      </c>
      <c r="C19" s="1">
        <v>0.61</v>
      </c>
      <c r="D19" s="1">
        <v>1.93</v>
      </c>
      <c r="E19" s="1">
        <v>1.984</v>
      </c>
      <c r="F19" s="1"/>
      <c r="I19" s="1">
        <v>0.61</v>
      </c>
      <c r="J19" s="1">
        <v>1.984</v>
      </c>
    </row>
    <row r="20" spans="1:10" x14ac:dyDescent="0.25">
      <c r="A20" s="1">
        <v>19</v>
      </c>
      <c r="B20" s="1">
        <v>2.8</v>
      </c>
      <c r="C20" s="1">
        <v>0.61</v>
      </c>
      <c r="D20" s="1">
        <v>2.16</v>
      </c>
      <c r="E20" s="1">
        <v>2.2189999999999999</v>
      </c>
      <c r="F20" s="1"/>
      <c r="I20" s="4">
        <v>0.61</v>
      </c>
      <c r="J20" s="4">
        <v>2.2189999999999999</v>
      </c>
    </row>
    <row r="21" spans="1:10" x14ac:dyDescent="0.25">
      <c r="A21" s="1">
        <v>20</v>
      </c>
      <c r="B21" s="1">
        <v>3</v>
      </c>
      <c r="C21" s="1">
        <v>0.62</v>
      </c>
      <c r="D21" s="1">
        <v>2.31</v>
      </c>
      <c r="E21" s="1">
        <v>2.3740000000000001</v>
      </c>
      <c r="F21" s="1"/>
      <c r="I21" s="1">
        <v>0.62</v>
      </c>
      <c r="J21" s="1">
        <v>2.3740000000000001</v>
      </c>
    </row>
    <row r="22" spans="1:10" x14ac:dyDescent="0.25">
      <c r="A22" s="1">
        <v>21</v>
      </c>
      <c r="B22" s="1">
        <v>3.2</v>
      </c>
      <c r="C22" s="1">
        <v>0.62</v>
      </c>
      <c r="D22" s="1">
        <v>2.57</v>
      </c>
      <c r="E22" s="1">
        <v>2.641</v>
      </c>
      <c r="F22" s="1"/>
      <c r="I22" s="1">
        <v>0.62</v>
      </c>
      <c r="J22" s="1">
        <v>2.641</v>
      </c>
    </row>
    <row r="23" spans="1:10" x14ac:dyDescent="0.25">
      <c r="A23" s="1">
        <v>22</v>
      </c>
      <c r="B23" s="1">
        <v>3.4</v>
      </c>
      <c r="C23" s="1">
        <v>0.62</v>
      </c>
      <c r="D23" s="1">
        <v>2.7</v>
      </c>
      <c r="E23" s="1">
        <v>2.77</v>
      </c>
      <c r="F23" s="1"/>
      <c r="I23" s="1">
        <v>0.62</v>
      </c>
      <c r="J23" s="1">
        <v>2.77</v>
      </c>
    </row>
    <row r="24" spans="1:10" x14ac:dyDescent="0.25">
      <c r="A24" s="1">
        <v>23</v>
      </c>
      <c r="B24" s="1">
        <v>3.6</v>
      </c>
      <c r="C24" s="1">
        <v>0.63</v>
      </c>
      <c r="D24" s="1">
        <v>2.89</v>
      </c>
      <c r="E24" s="1">
        <v>2.97</v>
      </c>
      <c r="F24" s="1"/>
      <c r="I24" s="3">
        <v>0.63</v>
      </c>
      <c r="J24" s="3">
        <v>2.97</v>
      </c>
    </row>
    <row r="25" spans="1:10" x14ac:dyDescent="0.25">
      <c r="A25" s="1">
        <v>24</v>
      </c>
      <c r="B25" s="1">
        <v>3.8</v>
      </c>
      <c r="C25" s="1">
        <v>0.63</v>
      </c>
      <c r="D25" s="1">
        <v>3.13</v>
      </c>
      <c r="E25" s="1">
        <v>3.22</v>
      </c>
      <c r="F25" s="1"/>
      <c r="I25" s="1">
        <v>0.63</v>
      </c>
      <c r="J25" s="1">
        <v>3.22</v>
      </c>
    </row>
    <row r="26" spans="1:10" x14ac:dyDescent="0.25">
      <c r="A26" s="1">
        <v>25</v>
      </c>
      <c r="B26" s="1">
        <v>4</v>
      </c>
      <c r="C26" s="1">
        <v>0.63</v>
      </c>
      <c r="D26" s="1">
        <v>3.27</v>
      </c>
      <c r="E26" s="1">
        <v>3.36</v>
      </c>
      <c r="F26" s="1"/>
      <c r="I26" s="1">
        <v>0.63</v>
      </c>
      <c r="J26" s="1">
        <v>3.36</v>
      </c>
    </row>
    <row r="27" spans="1:10" x14ac:dyDescent="0.25">
      <c r="A27" s="1">
        <v>26</v>
      </c>
      <c r="B27" s="1">
        <v>4.5</v>
      </c>
      <c r="C27" s="1">
        <v>0.64</v>
      </c>
      <c r="D27" s="1">
        <v>3.81</v>
      </c>
      <c r="E27" s="1">
        <v>3.92</v>
      </c>
      <c r="F27" s="1"/>
      <c r="I27" s="1">
        <v>0.64</v>
      </c>
      <c r="J27" s="1">
        <v>3.92</v>
      </c>
    </row>
    <row r="28" spans="1:10" x14ac:dyDescent="0.25">
      <c r="A28" s="1">
        <v>27</v>
      </c>
      <c r="B28" s="1">
        <v>5</v>
      </c>
      <c r="C28" s="1">
        <v>0.65</v>
      </c>
      <c r="D28" s="1">
        <v>4.2699999999999996</v>
      </c>
      <c r="E28" s="1">
        <v>4.3879999999999999</v>
      </c>
      <c r="F28" s="1"/>
      <c r="I28" s="1">
        <v>0.65</v>
      </c>
      <c r="J28" s="1">
        <v>4.3879999999999999</v>
      </c>
    </row>
    <row r="29" spans="1:10" x14ac:dyDescent="0.25">
      <c r="A29" s="1">
        <v>28</v>
      </c>
      <c r="B29" s="1">
        <v>5.5</v>
      </c>
      <c r="C29" s="1">
        <v>0.65</v>
      </c>
      <c r="D29" s="1">
        <v>4.8</v>
      </c>
      <c r="E29" s="1">
        <v>4.93</v>
      </c>
      <c r="F29" s="1"/>
      <c r="I29" s="5">
        <v>0.65</v>
      </c>
      <c r="J29" s="5">
        <v>4.93</v>
      </c>
    </row>
    <row r="30" spans="1:10" x14ac:dyDescent="0.25">
      <c r="A30" s="1">
        <v>29</v>
      </c>
      <c r="B30" s="1">
        <v>6</v>
      </c>
      <c r="C30" s="1">
        <v>0.66</v>
      </c>
      <c r="D30" s="1">
        <v>5.24</v>
      </c>
      <c r="E30" s="1">
        <v>5.39</v>
      </c>
      <c r="F30" s="1"/>
      <c r="I30" s="1">
        <v>0.66</v>
      </c>
      <c r="J30" s="1">
        <v>5.39</v>
      </c>
    </row>
    <row r="31" spans="1:10" x14ac:dyDescent="0.25">
      <c r="A31" s="1">
        <v>30</v>
      </c>
      <c r="B31" s="1">
        <v>7</v>
      </c>
      <c r="C31" s="1">
        <v>0.66</v>
      </c>
      <c r="D31" s="1">
        <v>6.28</v>
      </c>
      <c r="E31" s="1">
        <v>6.45</v>
      </c>
      <c r="F31" s="1"/>
      <c r="I31" s="1">
        <v>0.66</v>
      </c>
      <c r="J31" s="1">
        <v>6.45</v>
      </c>
    </row>
    <row r="32" spans="1:10" x14ac:dyDescent="0.25">
      <c r="A32" s="1">
        <v>31</v>
      </c>
      <c r="B32" s="1">
        <v>9</v>
      </c>
      <c r="C32" s="1">
        <v>0.67</v>
      </c>
      <c r="D32" s="1">
        <v>8.17</v>
      </c>
      <c r="E32" s="1">
        <v>8.4</v>
      </c>
      <c r="F32" s="1"/>
      <c r="I32" s="1">
        <v>0.67</v>
      </c>
      <c r="J32" s="1">
        <v>8.4</v>
      </c>
    </row>
    <row r="33" spans="1:19" x14ac:dyDescent="0.25">
      <c r="A33" s="1">
        <v>32</v>
      </c>
      <c r="B33" s="1">
        <v>12</v>
      </c>
      <c r="C33" s="1">
        <v>0.69</v>
      </c>
      <c r="D33" s="1">
        <v>11.18</v>
      </c>
      <c r="E33" s="1">
        <v>11.49</v>
      </c>
      <c r="F33" s="1"/>
      <c r="I33" s="1">
        <v>0.69</v>
      </c>
      <c r="J33" s="1">
        <v>11.49</v>
      </c>
    </row>
    <row r="34" spans="1:19" x14ac:dyDescent="0.25">
      <c r="A34" s="1">
        <v>33</v>
      </c>
      <c r="B34" s="1">
        <v>15</v>
      </c>
      <c r="C34" s="1">
        <v>0.7</v>
      </c>
      <c r="D34" s="1">
        <v>14.16</v>
      </c>
      <c r="E34" s="1">
        <v>14.55</v>
      </c>
      <c r="F34" s="1"/>
      <c r="I34" s="6">
        <v>0.7</v>
      </c>
      <c r="J34" s="6">
        <v>14.55</v>
      </c>
    </row>
    <row r="35" spans="1:19" x14ac:dyDescent="0.25">
      <c r="A35" s="1">
        <v>34</v>
      </c>
      <c r="B35" s="1">
        <v>20.5</v>
      </c>
      <c r="C35" s="1">
        <v>0.71</v>
      </c>
      <c r="D35" s="1">
        <v>19.54</v>
      </c>
      <c r="E35" s="1">
        <v>20.082000000000001</v>
      </c>
      <c r="F35" s="1"/>
      <c r="I35" s="6">
        <v>0.71</v>
      </c>
      <c r="J35" s="6">
        <v>20.082000000000001</v>
      </c>
    </row>
    <row r="36" spans="1:19" x14ac:dyDescent="0.25">
      <c r="P36" s="1" t="s">
        <v>18</v>
      </c>
      <c r="Q36" s="1" t="s">
        <v>19</v>
      </c>
      <c r="R36" s="1" t="s">
        <v>16</v>
      </c>
      <c r="S36" s="1" t="s">
        <v>17</v>
      </c>
    </row>
    <row r="37" spans="1:19" x14ac:dyDescent="0.25">
      <c r="M37" s="6">
        <v>0.7</v>
      </c>
      <c r="N37" s="6">
        <v>14.55</v>
      </c>
      <c r="P37" s="1">
        <f>N38-N37</f>
        <v>5.532</v>
      </c>
      <c r="Q37" s="1">
        <f>M38-M37</f>
        <v>1.0000000000000009E-2</v>
      </c>
      <c r="R37" s="1">
        <f>P37/Q37</f>
        <v>553.19999999999948</v>
      </c>
      <c r="S37" s="1">
        <f>Q37/P37</f>
        <v>1.8076644974692713E-3</v>
      </c>
    </row>
    <row r="38" spans="1:19" x14ac:dyDescent="0.25">
      <c r="M38" s="6">
        <v>0.71</v>
      </c>
      <c r="N38" s="6">
        <v>20.082000000000001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Amin Tuhin</dc:creator>
  <cp:lastModifiedBy>Rashedul Amin Tuhin</cp:lastModifiedBy>
  <dcterms:created xsi:type="dcterms:W3CDTF">2026-01-13T16:56:44Z</dcterms:created>
  <dcterms:modified xsi:type="dcterms:W3CDTF">2026-01-13T21:49:31Z</dcterms:modified>
</cp:coreProperties>
</file>